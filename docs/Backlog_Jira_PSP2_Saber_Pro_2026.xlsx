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0fe0187cf049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b45dddbdfdd4a8f"/>
    <x:sheet xmlns:r="http://schemas.openxmlformats.org/officeDocument/2006/relationships" name="Backlog Jira" sheetId="2" r:id="Ra033f5a8f97c482b"/>
    <x:sheet xmlns:r="http://schemas.openxmlformats.org/officeDocument/2006/relationships" name="Sprint 1" sheetId="3" r:id="Rbebbec4d389b451a"/>
    <x:sheet xmlns:r="http://schemas.openxmlformats.org/officeDocument/2006/relationships" name="Sprints" sheetId="4" r:id="Rb0734d78a9514879"/>
    <x:sheet xmlns:r="http://schemas.openxmlformats.org/officeDocument/2006/relationships" name="Backlog documento" sheetId="5" r:id="R9bda0a4b76a648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7"/>
      <x:color rgb="FFFFFFFF"/>
      <x:name val="Carlito"/>
    </x:font>
    <x:font>
      <x:sz val="10"/>
      <x:color rgb="FF263548"/>
      <x:name val="Carlito"/>
    </x:font>
    <x:font>
      <x:b/>
      <x:sz val="10"/>
      <x:color rgb="FFFFFFFF"/>
      <x:name val="Carlito"/>
    </x:font>
    <x:font>
      <x:b/>
      <x:sz val="10"/>
      <x:color rgb="FF263548"/>
      <x:name val="Carlito"/>
    </x:font>
    <x:font>
      <x:sz val="10"/>
      <x:color rgb="FF145C9C"/>
      <x:name val="Carlito"/>
    </x:font>
    <x:font>
      <x:b/>
      <x:sz val="11"/>
      <x:color rgb="FF795019"/>
      <x:name val="Carlito"/>
    </x:font>
    <x:font>
      <x:sz val="11"/>
      <x:color rgb="FF795019"/>
      <x:name val="Carlito"/>
    </x:font>
    <x:font>
      <x:sz val="11"/>
      <x:color rgb="FF263548"/>
      <x:name val="Carlito"/>
    </x:font>
    <x:font>
      <x:b/>
      <x:sz val="11"/>
      <x:color rgb="FFFFFFFF"/>
      <x:name val="Carlito"/>
    </x:font>
    <x:font>
      <x:b/>
      <x:sz val="21"/>
      <x:color rgb="FF17365D"/>
      <x:name val="Carlito"/>
    </x:font>
    <x:font>
      <x:b/>
      <x:sz val="10"/>
      <x:color rgb="FF63748A"/>
      <x:name val="Carlito"/>
    </x:font>
    <x:font>
      <x:sz val="10"/>
      <x:color rgb="FF795019"/>
      <x:name val="Carlito"/>
    </x:font>
    <x:font>
      <x:b/>
      <x:sz val="11"/>
      <x:name val="Carlito"/>
    </x:font>
    <x:font>
      <x:sz val="11"/>
      <x:color rgb="FF145C9C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2F7FB"/>
      </x:patternFill>
    </x:fill>
    <x:fill>
      <x:patternFill patternType="solid">
        <x:fgColor rgb="FFDCEBF6"/>
      </x:patternFill>
    </x:fill>
    <x:fill>
      <x:patternFill patternType="solid">
        <x:fgColor rgb="FFD9F3E7"/>
      </x:patternFill>
    </x:fill>
    <x:fill>
      <x:patternFill patternType="solid">
        <x:fgColor rgb="FFFFF0CC"/>
      </x:patternFill>
    </x:fill>
    <x:fill>
      <x:patternFill patternType="solid">
        <x:fgColor rgb="FFEAF3F9"/>
      </x:patternFill>
    </x:fill>
  </x:fills>
  <x:borders count="2">
    <x:border/>
    <x:border/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2" fillId="8" borderId="1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/>
    </x:xf>
    <x:xf numFmtId="0" fontId="10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10" fillId="9" borderId="1" xfId="0" applyNumberFormat="1" applyFont="1" applyFill="1" applyBorder="1"/>
    <x:xf numFmtId="0" fontId="10" fillId="9" borderId="1" xfId="0" applyNumberFormat="1" applyFont="1" applyFill="1" applyBorder="1" applyAlignment="1">
      <x:alignment horizontal="center"/>
    </x:xf>
    <x:xf numFmtId="0" fontId="10" fillId="9" borderId="1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 applyAlignment="1">
      <x:alignment horizontal="center" vertical="center"/>
    </x:xf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horizontal="center"/>
    </x:xf>
    <x:xf numFmtId="0" fontId="11" fillId="0" borderId="1" xfId="0" applyNumberFormat="1" applyFont="1" applyFill="1" applyBorder="1" applyAlignment="1">
      <x:alignment horizontal="center" vertical="center"/>
    </x:xf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0" fontId="12" fillId="8" borderId="0" xfId="0" applyNumberFormat="1" applyFont="1" applyFill="1" applyBorder="1" applyAlignment="1">
      <x:alignment vertical="center" wrapText="1"/>
    </x:xf>
    <x:xf numFmtId="0" fontId="12" fillId="8" borderId="1" xfId="0" applyNumberFormat="1" applyFont="1" applyFill="1" applyBorder="1"/>
    <x:xf numFmtId="0" fontId="12" fillId="8" borderId="1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0" fontId="13" fillId="0" borderId="1" xfId="0" applyNumberFormat="1" applyFont="1" applyFill="1" applyBorder="1"/>
    <x:xf numFmtId="0" fontId="1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d37bcf534a4815" /><Relationship Type="http://schemas.openxmlformats.org/officeDocument/2006/relationships/theme" Target="/xl/theme/theme1.xml" Id="R361fd1072d5545eb" /><Relationship Type="http://schemas.openxmlformats.org/officeDocument/2006/relationships/sharedStrings" Target="/xl/sharedStrings.xml" Id="R0afcfbe24d2b499a" /><Relationship Type="http://schemas.openxmlformats.org/officeDocument/2006/relationships/worksheet" Target="/xl/worksheets/sheet1.xml" Id="R2b45dddbdfdd4a8f" /><Relationship Type="http://schemas.openxmlformats.org/officeDocument/2006/relationships/worksheet" Target="/xl/worksheets/sheet2.xml" Id="Ra033f5a8f97c482b" /><Relationship Type="http://schemas.openxmlformats.org/officeDocument/2006/relationships/worksheet" Target="/xl/worksheets/sheet3.xml" Id="Rbebbec4d389b451a" /><Relationship Type="http://schemas.openxmlformats.org/officeDocument/2006/relationships/worksheet" Target="/xl/worksheets/sheet4.xml" Id="Rb0734d78a9514879" /><Relationship Type="http://schemas.openxmlformats.org/officeDocument/2006/relationships/worksheet" Target="/xl/worksheets/sheet5.xml" Id="R9bda0a4b76a6485c" /></Relationships>
</file>

<file path=xl/tables/table1.xml><?xml version="1.0" encoding="utf-8"?>
<x:table xmlns:x="http://schemas.openxmlformats.org/spreadsheetml/2006/main" id="1" name="JiraBacklogPSP2" displayName="JiraBacklogPSP2" ref="A5:M30" headerRowCount="1" totalsRowCount="0" totalsRowShown="0">
  <x:tableColumns count="13">
    <x:tableColumn id="1" name="Clave Jira"/>
    <x:tableColumn id="2" name="Tipo"/>
    <x:tableColumn id="3" name="HU"/>
    <x:tableColumn id="4" name="Historia / subtarea"/>
    <x:tableColumn id="5" name="Padre"/>
    <x:tableColumn id="6" name="Sprint relacionado"/>
    <x:tableColumn id="7" name="Estado"/>
    <x:tableColumn id="8" name="Responsable"/>
    <x:tableColumn id="9" name="Prioridad"/>
    <x:tableColumn id="10" name="Creada"/>
    <x:tableColumn id="11" name="Enlace Jira"/>
    <x:tableColumn id="12" name="Evidencia"/>
    <x:tableColumn id="13" name="Alcance / activida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Sprint1PSP2" displayName="Sprint1PSP2" ref="A5:G11" headerRowCount="1" totalsRowCount="0" totalsRowShown="0">
  <x:tableColumns count="7">
    <x:tableColumn id="1" name="Clave"/>
    <x:tableColumn id="2" name="Tipo"/>
    <x:tableColumn id="3" name="Tarea"/>
    <x:tableColumn id="4" name="Estado"/>
    <x:tableColumn id="5" name="Responsable"/>
    <x:tableColumn id="6" name="Enlace Jira"/>
    <x:tableColumn id="7" name="Trazabilidad tempor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SprintsPSP2" displayName="SprintsPSP2" ref="A5:I9" headerRowCount="1" totalsRowCount="0" totalsRowShown="0">
  <x:tableColumns count="9">
    <x:tableColumn id="1" name="N.º"/>
    <x:tableColumn id="2" name="Nombre en Jira"/>
    <x:tableColumn id="3" name="Historia asignada"/>
    <x:tableColumn id="4" name="Estado"/>
    <x:tableColumn id="5" name="Inicio registrado"/>
    <x:tableColumn id="6" name="Fin previsto"/>
    <x:tableColumn id="7" name="Cierre registrado"/>
    <x:tableColumn id="8" name="Subtareas vinculadas"/>
    <x:tableColumn id="9" name="Nota sobre evidenc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cklogDocumentoPSP2" displayName="BacklogDocumentoPSP2" ref="A5:F13" headerRowCount="1" totalsRowCount="0" totalsRowShown="0">
  <x:tableColumns count="6">
    <x:tableColumn id="1" name="Elemento"/>
    <x:tableColumn id="2" name="HU / tarea"/>
    <x:tableColumn id="3" name="Referencia"/>
    <x:tableColumn id="4" name="Evidencia"/>
    <x:tableColumn id="5" name="Responsable"/>
    <x:tableColumn id="6" name="Estado re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6157ac737141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dd810dd63943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52db135acb42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dba5f90b3b478c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5" customHeight="1">
      <x:c r="A1" s="4" t="str">
        <x:v>BANCO DE PREGUNTAS SABER PRO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8" customHeight="1">
      <x:c r="A3" s="11" t="str">
        <x:v>Resumen del backlog real · PSP2 · Universidad del Cauca · 13 de octubre de 2026</x:v>
      </x:c>
      <x:c r="B3" s="11"/>
      <x:c r="C3" s="11"/>
      <x:c r="D3" s="11"/>
      <x:c r="E3" s="11"/>
      <x:c r="F3" s="11"/>
      <x:c r="G3" s="11"/>
      <x:c r="H3" s="11"/>
    </x:row>
    <x:row r="5" ht="29" customHeight="1">
      <x:c r="A5" s="67" t="str">
        <x:v>ESTADO GENERAL DEL PROYECTO</x:v>
      </x:c>
      <x:c r="B5" s="67"/>
      <x:c r="C5" s="67"/>
      <x:c r="D5" s="67"/>
      <x:c r="E5" s="67"/>
      <x:c r="F5" s="67"/>
      <x:c r="G5" s="67"/>
      <x:c r="H5" s="67"/>
    </x:row>
    <x:row r="7" ht="33" customHeight="1">
      <x:c r="A7" s="73" t="n">
        <x:f>COUNTIF('Backlog Jira'!B6:B30,"Historia")</x:f>
        <x:v>4</x:v>
      </x:c>
      <x:c r="B7" s="73"/>
      <x:c r="C7" s="73" t="n">
        <x:f>COUNTIF('Backlog Jira'!B6:B30,"Subtarea")</x:f>
        <x:v>21</x:v>
      </x:c>
      <x:c r="D7" s="73"/>
      <x:c r="E7" s="73" t="n">
        <x:f>COUNTIF('Backlog Jira'!G6:G30,"Listo")</x:f>
        <x:v>25</x:v>
      </x:c>
      <x:c r="F7" s="73"/>
      <x:c r="G7" s="73" t="n">
        <x:f>COUNTIF(Sprints!D6:D9,"Cerrado")</x:f>
        <x:v>4</x:v>
      </x:c>
      <x:c r="H7" s="73"/>
    </x:row>
    <x:row r="8" ht="33" customHeight="1">
      <x:c r="A8" s="73"/>
      <x:c r="B8" s="73"/>
      <x:c r="C8" s="73"/>
      <x:c r="D8" s="73"/>
      <x:c r="E8" s="73"/>
      <x:c r="F8" s="73"/>
      <x:c r="G8" s="73"/>
      <x:c r="H8" s="73"/>
    </x:row>
    <x:row r="9" ht="27" customHeight="1">
      <x:c r="A9" s="80" t="str">
        <x:v>HISTORIAS</x:v>
      </x:c>
      <x:c r="B9" s="80"/>
      <x:c r="C9" s="80" t="str">
        <x:v>SUBTAREAS</x:v>
      </x:c>
      <x:c r="D9" s="80"/>
      <x:c r="E9" s="80" t="str">
        <x:v>ACTIVIDADES LISTAS</x:v>
      </x:c>
      <x:c r="F9" s="80"/>
      <x:c r="G9" s="80" t="str">
        <x:v>SPRINTS CERRADOS</x:v>
      </x:c>
      <x:c r="H9" s="80"/>
    </x:row>
    <x:row r="12" ht="26" customHeight="1">
      <x:c r="A12" s="66" t="str">
        <x:v>CONTROL DE ENTREGABLES Y ENLACES</x:v>
      </x:c>
      <x:c r="B12" s="66"/>
      <x:c r="C12" s="66"/>
      <x:c r="D12" s="66"/>
      <x:c r="E12" s="66"/>
      <x:c r="F12" s="66"/>
      <x:c r="G12" s="66"/>
      <x:c r="H12" s="66"/>
    </x:row>
    <x:row r="14">
      <x:c r="A14" s="90" t="str">
        <x:v>Proyecto Jira</x:v>
      </x:c>
      <x:c r="B14" s="90"/>
      <x:c r="C14" s="92" t="str">
        <x:v>https://banco-preguntas-unicauca.atlassian.net/jira/software/projects/PSP2</x:v>
      </x:c>
      <x:c r="D14" s="92"/>
      <x:c r="E14" s="92"/>
      <x:c r="F14" s="92"/>
      <x:c r="G14" s="92"/>
      <x:c r="H14" s="92"/>
    </x:row>
    <x:row r="15">
      <x:c r="A15" s="90" t="str">
        <x:v>Repositorio GitHub</x:v>
      </x:c>
      <x:c r="B15" s="90"/>
      <x:c r="C15" s="92" t="str">
        <x:v>https://github.com/britneybenitez-gif/banco-preguntas-saber-pro-2026</x:v>
      </x:c>
      <x:c r="D15" s="92"/>
      <x:c r="E15" s="92"/>
      <x:c r="F15" s="92"/>
      <x:c r="G15" s="92"/>
      <x:c r="H15" s="92"/>
    </x:row>
    <x:row r="17" ht="28" customHeight="1">
      <x:c r="A17" s="86" t="str">
        <x:v>Importante: los 4 sprints están cerrados. Las 21 subtareas se crearon el 13/10/2026, después del cierre de sus sprints; esta hoja representa el estado actual del proyecto, no una evidencia de la planificación inicial.</x:v>
      </x:c>
      <x:c r="B17" s="86"/>
      <x:c r="C17" s="86"/>
      <x:c r="D17" s="86"/>
      <x:c r="E17" s="86"/>
      <x:c r="F17" s="86"/>
      <x:c r="G17" s="86"/>
      <x:c r="H17" s="86"/>
    </x:row>
    <x:row r="18" ht="28" customHeight="1">
      <x:c r="A18" s="86"/>
      <x:c r="B18" s="86"/>
      <x:c r="C18" s="86"/>
      <x:c r="D18" s="86"/>
      <x:c r="E18" s="86"/>
      <x:c r="F18" s="86"/>
      <x:c r="G18" s="86"/>
      <x:c r="H18" s="86"/>
    </x:row>
  </x:sheetData>
  <x:mergeCells>
    <x:mergeCell ref="A1:H2"/>
    <x:mergeCell ref="A3:H3"/>
    <x:mergeCell ref="A5:H5"/>
    <x:mergeCell ref="A7:B8"/>
    <x:mergeCell ref="C7:D8"/>
    <x:mergeCell ref="E7:F8"/>
    <x:mergeCell ref="G7:H8"/>
    <x:mergeCell ref="A9:B9"/>
    <x:mergeCell ref="C9:D9"/>
    <x:mergeCell ref="E9:F9"/>
    <x:mergeCell ref="G9:H9"/>
    <x:mergeCell ref="A12:H12"/>
    <x:mergeCell ref="A14:B14"/>
    <x:mergeCell ref="C14:H14"/>
    <x:mergeCell ref="A15:B15"/>
    <x:mergeCell ref="C15:H15"/>
    <x:mergeCell ref="A17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1" hidden="0" customWidth="1"/>
    <x:col min="4" max="4" width="44" hidden="0" customWidth="1"/>
    <x:col min="5" max="5" width="15" hidden="0" customWidth="1"/>
    <x:col min="6" max="6" width="33" hidden="0" customWidth="1"/>
    <x:col min="7" max="7" width="13" hidden="0" customWidth="1"/>
    <x:col min="8" max="8" width="26" hidden="0" customWidth="1"/>
    <x:col min="9" max="9" width="12" hidden="0" customWidth="1"/>
    <x:col min="10" max="10" width="15" hidden="0" customWidth="1"/>
    <x:col min="11" max="11" width="44" hidden="0" customWidth="1"/>
    <x:col min="12" max="12" width="20" hidden="0" customWidth="1"/>
    <x:col min="13" max="13" width="43" hidden="0" customWidth="1"/>
  </x:cols>
  <x:sheetData>
    <x:row r="1" ht="25" customHeight="1">
      <x:c r="A1" s="4" t="str">
        <x:v>BACKLOG REAL · PROYECTO PSP2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28" customHeight="1">
      <x:c r="A3" s="11" t="str">
        <x:v>Exportación de Jira · 13/10/2026 · 4 historias y 21 subtareas. Los sprints están cerrados.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</x:row>
    <x:row r="5" ht="32" customHeight="1">
      <x:c r="A5" s="19" t="str">
        <x:v>Clave Jira</x:v>
      </x:c>
      <x:c r="B5" s="19" t="str">
        <x:v>Tipo</x:v>
      </x:c>
      <x:c r="C5" s="19" t="str">
        <x:v>HU</x:v>
      </x:c>
      <x:c r="D5" s="19" t="str">
        <x:v>Historia / subtarea</x:v>
      </x:c>
      <x:c r="E5" s="19" t="str">
        <x:v>Padre</x:v>
      </x:c>
      <x:c r="F5" s="19" t="str">
        <x:v>Sprint relacionado</x:v>
      </x:c>
      <x:c r="G5" s="19" t="str">
        <x:v>Estado</x:v>
      </x:c>
      <x:c r="H5" s="19" t="str">
        <x:v>Responsable</x:v>
      </x:c>
      <x:c r="I5" s="19" t="str">
        <x:v>Prioridad</x:v>
      </x:c>
      <x:c r="J5" s="19" t="str">
        <x:v>Creada</x:v>
      </x:c>
      <x:c r="K5" s="19" t="str">
        <x:v>Enlace Jira</x:v>
      </x:c>
      <x:c r="L5" s="19" t="str">
        <x:v>Evidencia</x:v>
      </x:c>
      <x:c r="M5" s="19" t="str">
        <x:v>Alcance / actividad</x:v>
      </x:c>
    </x:row>
    <x:row r="6" ht="42" customHeight="1">
      <x:c r="A6" s="34" t="str">
        <x:v>PSP2-1</x:v>
      </x:c>
      <x:c r="B6" s="34" t="str">
        <x:v>Historia</x:v>
      </x:c>
      <x:c r="C6" s="34" t="str">
        <x:v>HU-01</x:v>
      </x:c>
      <x:c r="D6" s="34" t="str">
        <x:v>Registro y validación estructural de preguntas Saber Pro</x:v>
      </x:c>
      <x:c r="E6" s="32" t="str">
        <x:v>—</x:v>
      </x:c>
      <x:c r="F6" s="32" t="str">
        <x:v>Sprint1-RegistroDePreguntas</x:v>
      </x:c>
      <x:c r="G6" s="36" t="str">
        <x:v>Listo</x:v>
      </x:c>
      <x:c r="H6" s="32" t="str">
        <x:v>Britney Benítez Ordoñez</x:v>
      </x:c>
      <x:c r="I6" s="32" t="str">
        <x:v>Media</x:v>
      </x:c>
      <x:c r="J6" s="32" t="str">
        <x:v>12/10/2026</x:v>
      </x:c>
      <x:c r="K6" s="38" t="str">
        <x:v>https://banco-preguntas-unicauca.atlassian.net/browse/PSP2-1</x:v>
      </x:c>
      <x:c r="L6" s="32" t="str">
        <x:v>PR #1</x:v>
      </x:c>
      <x:c r="M6" s="32" t="str">
        <x:v>Registro con contexto, enunciado, distractores, solución, justificación, metadatos y validaciones.</x:v>
      </x:c>
    </x:row>
    <x:row r="7" ht="42" customHeight="1">
      <x:c r="A7" s="30" t="str">
        <x:v>PSP2-5</x:v>
      </x:c>
      <x:c r="B7" s="30" t="str">
        <x:v>Subtarea</x:v>
      </x:c>
      <x:c r="C7" s="30" t="str">
        <x:v>HU-01</x:v>
      </x:c>
      <x:c r="D7" s="30" t="str">
        <x:v>HU-01 | Diseñar el modelo de dominio de las preguntas</x:v>
      </x:c>
      <x:c r="E7" s="30" t="str">
        <x:v>PSP2-1</x:v>
      </x:c>
      <x:c r="F7" s="30" t="str">
        <x:v>Sprint1-RegistroDePreguntas (asociado)</x:v>
      </x:c>
      <x:c r="G7" s="36" t="str">
        <x:v>Listo</x:v>
      </x:c>
      <x:c r="H7" s="30" t="str">
        <x:v>Britney Benítez Ordoñez</x:v>
      </x:c>
      <x:c r="I7" s="30" t="str">
        <x:v>Media</x:v>
      </x:c>
      <x:c r="J7" s="30" t="str">
        <x:v>13/10/2026</x:v>
      </x:c>
      <x:c r="K7" s="39" t="str">
        <x:v>https://banco-preguntas-unicauca.atlassian.net/browse/PSP2-5</x:v>
      </x:c>
      <x:c r="L7" s="30" t="str">
        <x:v>PR #1 (HU madre)</x:v>
      </x:c>
      <x:c r="M7" s="30" t="str">
        <x:v>Modelo Pregunta, metadatos, ID y estado BORRADOR.</x:v>
      </x:c>
    </x:row>
    <x:row r="8" ht="42" customHeight="1">
      <x:c r="A8" s="26" t="str">
        <x:v>PSP2-6</x:v>
      </x:c>
      <x:c r="B8" s="26" t="str">
        <x:v>Subtarea</x:v>
      </x:c>
      <x:c r="C8" s="26" t="str">
        <x:v>HU-01</x:v>
      </x:c>
      <x:c r="D8" s="26" t="str">
        <x:v>HU-01 | Implementar validaciones estructurales</x:v>
      </x:c>
      <x:c r="E8" s="26" t="str">
        <x:v>PSP2-1</x:v>
      </x:c>
      <x:c r="F8" s="26" t="str">
        <x:v>Sprint1-RegistroDePreguntas (asociado)</x:v>
      </x:c>
      <x:c r="G8" s="36" t="str">
        <x:v>Listo</x:v>
      </x:c>
      <x:c r="H8" s="26" t="str">
        <x:v>Britney Benítez Ordoñez</x:v>
      </x:c>
      <x:c r="I8" s="26" t="str">
        <x:v>Media</x:v>
      </x:c>
      <x:c r="J8" s="26" t="str">
        <x:v>13/10/2026</x:v>
      </x:c>
      <x:c r="K8" s="40" t="str">
        <x:v>https://banco-preguntas-unicauca.atlassian.net/browse/PSP2-6</x:v>
      </x:c>
      <x:c r="L8" s="26" t="str">
        <x:v>PR #1 (HU madre)</x:v>
      </x:c>
      <x:c r="M8" s="26" t="str">
        <x:v>Cuatro distractores, campos obligatorios, duplicados y respuesta correcta.</x:v>
      </x:c>
    </x:row>
    <x:row r="9" ht="42" customHeight="1">
      <x:c r="A9" s="30" t="str">
        <x:v>PSP2-7</x:v>
      </x:c>
      <x:c r="B9" s="30" t="str">
        <x:v>Subtarea</x:v>
      </x:c>
      <x:c r="C9" s="30" t="str">
        <x:v>HU-01</x:v>
      </x:c>
      <x:c r="D9" s="30" t="str">
        <x:v>HU-01 | Desarrollar formulario Java Swing y controlador MVC</x:v>
      </x:c>
      <x:c r="E9" s="30" t="str">
        <x:v>PSP2-1</x:v>
      </x:c>
      <x:c r="F9" s="30" t="str">
        <x:v>Sprint1-RegistroDePreguntas (asociado)</x:v>
      </x:c>
      <x:c r="G9" s="36" t="str">
        <x:v>Listo</x:v>
      </x:c>
      <x:c r="H9" s="30" t="str">
        <x:v>Britney Benítez Ordoñez</x:v>
      </x:c>
      <x:c r="I9" s="30" t="str">
        <x:v>Media</x:v>
      </x:c>
      <x:c r="J9" s="30" t="str">
        <x:v>13/10/2026</x:v>
      </x:c>
      <x:c r="K9" s="39" t="str">
        <x:v>https://banco-preguntas-unicauca.atlassian.net/browse/PSP2-7</x:v>
      </x:c>
      <x:c r="L9" s="30" t="str">
        <x:v>PR #1 (HU madre)</x:v>
      </x:c>
      <x:c r="M9" s="30" t="str">
        <x:v>Interfaz de registro y mensajes de validación.</x:v>
      </x:c>
    </x:row>
    <x:row r="10" ht="42" customHeight="1">
      <x:c r="A10" s="26" t="str">
        <x:v>PSP2-8</x:v>
      </x:c>
      <x:c r="B10" s="26" t="str">
        <x:v>Subtarea</x:v>
      </x:c>
      <x:c r="C10" s="26" t="str">
        <x:v>HU-01</x:v>
      </x:c>
      <x:c r="D10" s="26" t="str">
        <x:v>HU-01 | Persistir preguntas y distractores en SQLite</x:v>
      </x:c>
      <x:c r="E10" s="26" t="str">
        <x:v>PSP2-1</x:v>
      </x:c>
      <x:c r="F10" s="26" t="str">
        <x:v>Sprint1-RegistroDePreguntas (asociado)</x:v>
      </x:c>
      <x:c r="G10" s="36" t="str">
        <x:v>Listo</x:v>
      </x:c>
      <x:c r="H10" s="26" t="str">
        <x:v>Britney Benítez Ordoñez</x:v>
      </x:c>
      <x:c r="I10" s="26" t="str">
        <x:v>Media</x:v>
      </x:c>
      <x:c r="J10" s="26" t="str">
        <x:v>13/10/2026</x:v>
      </x:c>
      <x:c r="K10" s="40" t="str">
        <x:v>https://banco-preguntas-unicauca.atlassian.net/browse/PSP2-8</x:v>
      </x:c>
      <x:c r="L10" s="26" t="str">
        <x:v>PR #1 (HU madre)</x:v>
      </x:c>
      <x:c r="M10" s="26" t="str">
        <x:v>Repositorios y almacenamiento persistente de preguntas.</x:v>
      </x:c>
    </x:row>
    <x:row r="11" ht="42" customHeight="1">
      <x:c r="A11" s="30" t="str">
        <x:v>PSP2-9</x:v>
      </x:c>
      <x:c r="B11" s="30" t="str">
        <x:v>Subtarea</x:v>
      </x:c>
      <x:c r="C11" s="30" t="str">
        <x:v>HU-01</x:v>
      </x:c>
      <x:c r="D11" s="30" t="str">
        <x:v>HU-01 | Desarrollar y ejecutar pruebas unitarias</x:v>
      </x:c>
      <x:c r="E11" s="30" t="str">
        <x:v>PSP2-1</x:v>
      </x:c>
      <x:c r="F11" s="30" t="str">
        <x:v>Sprint1-RegistroDePreguntas (asociado)</x:v>
      </x:c>
      <x:c r="G11" s="36" t="str">
        <x:v>Listo</x:v>
      </x:c>
      <x:c r="H11" s="30" t="str">
        <x:v>Britney Benítez Ordoñez</x:v>
      </x:c>
      <x:c r="I11" s="30" t="str">
        <x:v>Media</x:v>
      </x:c>
      <x:c r="J11" s="30" t="str">
        <x:v>13/10/2026</x:v>
      </x:c>
      <x:c r="K11" s="39" t="str">
        <x:v>https://banco-preguntas-unicauca.atlassian.net/browse/PSP2-9</x:v>
      </x:c>
      <x:c r="L11" s="30" t="str">
        <x:v>PR #1 (HU madre)</x:v>
      </x:c>
      <x:c r="M11" s="30" t="str">
        <x:v>JUnit para modelo, validaciones, servicios y persistencia.</x:v>
      </x:c>
    </x:row>
    <x:row r="12" ht="42" customHeight="1">
      <x:c r="A12" s="34" t="str">
        <x:v>PSP2-2</x:v>
      </x:c>
      <x:c r="B12" s="34" t="str">
        <x:v>Historia</x:v>
      </x:c>
      <x:c r="C12" s="34" t="str">
        <x:v>HU-02</x:v>
      </x:c>
      <x:c r="D12" s="34" t="str">
        <x:v>Gestión del estado de preguntas para revisión académica</x:v>
      </x:c>
      <x:c r="E12" s="32" t="str">
        <x:v>—</x:v>
      </x:c>
      <x:c r="F12" s="32" t="str">
        <x:v>Sprint2 -Gestión De Estados</x:v>
      </x:c>
      <x:c r="G12" s="36" t="str">
        <x:v>Listo</x:v>
      </x:c>
      <x:c r="H12" s="32" t="str">
        <x:v>Britney Benítez Ordoñez</x:v>
      </x:c>
      <x:c r="I12" s="32" t="str">
        <x:v>Media</x:v>
      </x:c>
      <x:c r="J12" s="32" t="str">
        <x:v>12/10/2026</x:v>
      </x:c>
      <x:c r="K12" s="38" t="str">
        <x:v>https://banco-preguntas-unicauca.atlassian.net/browse/PSP2-2</x:v>
      </x:c>
      <x:c r="L12" s="32" t="str">
        <x:v>PR #2</x:v>
      </x:c>
      <x:c r="M12" s="32" t="str">
        <x:v>Cambio autorizado de BORRADOR a PENDIENTE_REVISION y persistencia en SQLite.</x:v>
      </x:c>
    </x:row>
    <x:row r="13" ht="42" customHeight="1">
      <x:c r="A13" s="30" t="str">
        <x:v>PSP2-10</x:v>
      </x:c>
      <x:c r="B13" s="30" t="str">
        <x:v>Subtarea</x:v>
      </x:c>
      <x:c r="C13" s="30" t="str">
        <x:v>HU-02</x:v>
      </x:c>
      <x:c r="D13" s="30" t="str">
        <x:v>HU-02 | Modelar estados y reglas de transición</x:v>
      </x:c>
      <x:c r="E13" s="30" t="str">
        <x:v>PSP2-2</x:v>
      </x:c>
      <x:c r="F13" s="30" t="str">
        <x:v>Sprint2 -Gestión De Estados (asociado)</x:v>
      </x:c>
      <x:c r="G13" s="36" t="str">
        <x:v>Listo</x:v>
      </x:c>
      <x:c r="H13" s="30" t="str">
        <x:v>Britney Benítez Ordoñez</x:v>
      </x:c>
      <x:c r="I13" s="30" t="str">
        <x:v>Media</x:v>
      </x:c>
      <x:c r="J13" s="30" t="str">
        <x:v>13/10/2026</x:v>
      </x:c>
      <x:c r="K13" s="39" t="str">
        <x:v>https://banco-preguntas-unicauca.atlassian.net/browse/PSP2-10</x:v>
      </x:c>
      <x:c r="L13" s="30" t="str">
        <x:v>PR #2 (HU madre)</x:v>
      </x:c>
      <x:c r="M13" s="30" t="str">
        <x:v>BORRADOR → PENDIENTE_REVISION.</x:v>
      </x:c>
    </x:row>
    <x:row r="14" ht="42" customHeight="1">
      <x:c r="A14" s="26" t="str">
        <x:v>PSP2-11</x:v>
      </x:c>
      <x:c r="B14" s="26" t="str">
        <x:v>Subtarea</x:v>
      </x:c>
      <x:c r="C14" s="26" t="str">
        <x:v>HU-02</x:v>
      </x:c>
      <x:c r="D14" s="26" t="str">
        <x:v>HU-02 | Verificar rol Autor y propiedad de la pregunta</x:v>
      </x:c>
      <x:c r="E14" s="26" t="str">
        <x:v>PSP2-2</x:v>
      </x:c>
      <x:c r="F14" s="26" t="str">
        <x:v>Sprint2 -Gestión De Estados (asociado)</x:v>
      </x:c>
      <x:c r="G14" s="36" t="str">
        <x:v>Listo</x:v>
      </x:c>
      <x:c r="H14" s="26" t="str">
        <x:v>Britney Benítez Ordoñez</x:v>
      </x:c>
      <x:c r="I14" s="26" t="str">
        <x:v>Media</x:v>
      </x:c>
      <x:c r="J14" s="26" t="str">
        <x:v>13/10/2026</x:v>
      </x:c>
      <x:c r="K14" s="40" t="str">
        <x:v>https://banco-preguntas-unicauca.atlassian.net/browse/PSP2-11</x:v>
      </x:c>
      <x:c r="L14" s="26" t="str">
        <x:v>PR #2 (HU madre)</x:v>
      </x:c>
      <x:c r="M14" s="26" t="str">
        <x:v>Validar permisos y titularidad.</x:v>
      </x:c>
    </x:row>
    <x:row r="15" ht="42" customHeight="1">
      <x:c r="A15" s="30" t="str">
        <x:v>PSP2-12</x:v>
      </x:c>
      <x:c r="B15" s="30" t="str">
        <x:v>Subtarea</x:v>
      </x:c>
      <x:c r="C15" s="30" t="str">
        <x:v>HU-02</x:v>
      </x:c>
      <x:c r="D15" s="30" t="str">
        <x:v>HU-02 | Implementar interfaz y controlador de envío a revisión</x:v>
      </x:c>
      <x:c r="E15" s="30" t="str">
        <x:v>PSP2-2</x:v>
      </x:c>
      <x:c r="F15" s="30" t="str">
        <x:v>Sprint2 -Gestión De Estados (asociado)</x:v>
      </x:c>
      <x:c r="G15" s="36" t="str">
        <x:v>Listo</x:v>
      </x:c>
      <x:c r="H15" s="30" t="str">
        <x:v>Britney Benítez Ordoñez</x:v>
      </x:c>
      <x:c r="I15" s="30" t="str">
        <x:v>Media</x:v>
      </x:c>
      <x:c r="J15" s="30" t="str">
        <x:v>13/10/2026</x:v>
      </x:c>
      <x:c r="K15" s="39" t="str">
        <x:v>https://banco-preguntas-unicauca.atlassian.net/browse/PSP2-12</x:v>
      </x:c>
      <x:c r="L15" s="30" t="str">
        <x:v>PR #2 (HU madre)</x:v>
      </x:c>
      <x:c r="M15" s="30" t="str">
        <x:v>Consulta, envío a revisión y mensajes de estado.</x:v>
      </x:c>
    </x:row>
    <x:row r="16" ht="42" customHeight="1">
      <x:c r="A16" s="26" t="str">
        <x:v>PSP2-13</x:v>
      </x:c>
      <x:c r="B16" s="26" t="str">
        <x:v>Subtarea</x:v>
      </x:c>
      <x:c r="C16" s="26" t="str">
        <x:v>HU-02</x:v>
      </x:c>
      <x:c r="D16" s="26" t="str">
        <x:v>HU-02 | Implementar actualización del estado en SQLite</x:v>
      </x:c>
      <x:c r="E16" s="26" t="str">
        <x:v>PSP2-2</x:v>
      </x:c>
      <x:c r="F16" s="26" t="str">
        <x:v>Sprint2 -Gestión De Estados (asociado)</x:v>
      </x:c>
      <x:c r="G16" s="36" t="str">
        <x:v>Listo</x:v>
      </x:c>
      <x:c r="H16" s="26" t="str">
        <x:v>Britney Benítez Ordoñez</x:v>
      </x:c>
      <x:c r="I16" s="26" t="str">
        <x:v>Media</x:v>
      </x:c>
      <x:c r="J16" s="26" t="str">
        <x:v>13/10/2026</x:v>
      </x:c>
      <x:c r="K16" s="40" t="str">
        <x:v>https://banco-preguntas-unicauca.atlassian.net/browse/PSP2-13</x:v>
      </x:c>
      <x:c r="L16" s="26" t="str">
        <x:v>PR #2 (HU madre)</x:v>
      </x:c>
      <x:c r="M16" s="26" t="str">
        <x:v>Persistir transición y rechazar operaciones inválidas.</x:v>
      </x:c>
    </x:row>
    <x:row r="17" ht="42" customHeight="1">
      <x:c r="A17" s="30" t="str">
        <x:v>PSP2-14</x:v>
      </x:c>
      <x:c r="B17" s="30" t="str">
        <x:v>Subtarea</x:v>
      </x:c>
      <x:c r="C17" s="30" t="str">
        <x:v>HU-02</x:v>
      </x:c>
      <x:c r="D17" s="30" t="str">
        <x:v>HU-02 | Elaborar pruebas unitarias de estados y autorización</x:v>
      </x:c>
      <x:c r="E17" s="30" t="str">
        <x:v>PSP2-2</x:v>
      </x:c>
      <x:c r="F17" s="30" t="str">
        <x:v>Sprint2 -Gestión De Estados (asociado)</x:v>
      </x:c>
      <x:c r="G17" s="36" t="str">
        <x:v>Listo</x:v>
      </x:c>
      <x:c r="H17" s="30" t="str">
        <x:v>Britney Benítez Ordoñez</x:v>
      </x:c>
      <x:c r="I17" s="30" t="str">
        <x:v>Media</x:v>
      </x:c>
      <x:c r="J17" s="30" t="str">
        <x:v>13/10/2026</x:v>
      </x:c>
      <x:c r="K17" s="39" t="str">
        <x:v>https://banco-preguntas-unicauca.atlassian.net/browse/PSP2-14</x:v>
      </x:c>
      <x:c r="L17" s="30" t="str">
        <x:v>PR #2 (HU madre)</x:v>
      </x:c>
      <x:c r="M17" s="30" t="str">
        <x:v>JUnit de transiciones, titularidad y persistencia.</x:v>
      </x:c>
    </x:row>
    <x:row r="18" ht="42" customHeight="1">
      <x:c r="A18" s="34" t="str">
        <x:v>PSP2-3</x:v>
      </x:c>
      <x:c r="B18" s="34" t="str">
        <x:v>Historia</x:v>
      </x:c>
      <x:c r="C18" s="34" t="str">
        <x:v>HU-03</x:v>
      </x:c>
      <x:c r="D18" s="34" t="str">
        <x:v>Consulta y listado de preguntas con filtros y paginación</x:v>
      </x:c>
      <x:c r="E18" s="32" t="str">
        <x:v>—</x:v>
      </x:c>
      <x:c r="F18" s="32" t="str">
        <x:v>Sprint3-Consulta De Preguntas</x:v>
      </x:c>
      <x:c r="G18" s="36" t="str">
        <x:v>Listo</x:v>
      </x:c>
      <x:c r="H18" s="32" t="str">
        <x:v>Britney Benítez Ordoñez</x:v>
      </x:c>
      <x:c r="I18" s="32" t="str">
        <x:v>Media</x:v>
      </x:c>
      <x:c r="J18" s="32" t="str">
        <x:v>12/10/2026</x:v>
      </x:c>
      <x:c r="K18" s="38" t="str">
        <x:v>https://banco-preguntas-unicauca.atlassian.net/browse/PSP2-3</x:v>
      </x:c>
      <x:c r="L18" s="32" t="str">
        <x:v>PR #3</x:v>
      </x:c>
      <x:c r="M18" s="32" t="str">
        <x:v>Listado por autor, filtros de estado y dificultad, paginación y consulta de detalles.</x:v>
      </x:c>
    </x:row>
    <x:row r="19" ht="42" customHeight="1">
      <x:c r="A19" s="30" t="str">
        <x:v>PSP2-15</x:v>
      </x:c>
      <x:c r="B19" s="30" t="str">
        <x:v>Subtarea</x:v>
      </x:c>
      <x:c r="C19" s="30" t="str">
        <x:v>HU-03</x:v>
      </x:c>
      <x:c r="D19" s="30" t="str">
        <x:v>HU-03 | Implementar consulta de preguntas propias</x:v>
      </x:c>
      <x:c r="E19" s="30" t="str">
        <x:v>PSP2-3</x:v>
      </x:c>
      <x:c r="F19" s="30" t="str">
        <x:v>Sprint3-Consulta De Preguntas (asociado)</x:v>
      </x:c>
      <x:c r="G19" s="36" t="str">
        <x:v>Listo</x:v>
      </x:c>
      <x:c r="H19" s="30" t="str">
        <x:v>Britney Benítez Ordoñez</x:v>
      </x:c>
      <x:c r="I19" s="30" t="str">
        <x:v>Media</x:v>
      </x:c>
      <x:c r="J19" s="30" t="str">
        <x:v>13/10/2026</x:v>
      </x:c>
      <x:c r="K19" s="39" t="str">
        <x:v>https://banco-preguntas-unicauca.atlassian.net/browse/PSP2-15</x:v>
      </x:c>
      <x:c r="L19" s="30" t="str">
        <x:v>PR #3 (HU madre)</x:v>
      </x:c>
      <x:c r="M19" s="30" t="str">
        <x:v>Consulta filtrada por identidad del autor.</x:v>
      </x:c>
    </x:row>
    <x:row r="20" ht="42" customHeight="1">
      <x:c r="A20" s="26" t="str">
        <x:v>PSP2-16</x:v>
      </x:c>
      <x:c r="B20" s="26" t="str">
        <x:v>Subtarea</x:v>
      </x:c>
      <x:c r="C20" s="26" t="str">
        <x:v>HU-03</x:v>
      </x:c>
      <x:c r="D20" s="26" t="str">
        <x:v>HU-03 | Incorporar filtros por estado y dificultad</x:v>
      </x:c>
      <x:c r="E20" s="26" t="str">
        <x:v>PSP2-3</x:v>
      </x:c>
      <x:c r="F20" s="26" t="str">
        <x:v>Sprint3-Consulta De Preguntas (asociado)</x:v>
      </x:c>
      <x:c r="G20" s="36" t="str">
        <x:v>Listo</x:v>
      </x:c>
      <x:c r="H20" s="26" t="str">
        <x:v>Britney Benítez Ordoñez</x:v>
      </x:c>
      <x:c r="I20" s="26" t="str">
        <x:v>Media</x:v>
      </x:c>
      <x:c r="J20" s="26" t="str">
        <x:v>13/10/2026</x:v>
      </x:c>
      <x:c r="K20" s="40" t="str">
        <x:v>https://banco-preguntas-unicauca.atlassian.net/browse/PSP2-16</x:v>
      </x:c>
      <x:c r="L20" s="26" t="str">
        <x:v>PR #3 (HU madre)</x:v>
      </x:c>
      <x:c r="M20" s="26" t="str">
        <x:v>Combinación de filtros para la lista de preguntas.</x:v>
      </x:c>
    </x:row>
    <x:row r="21" ht="42" customHeight="1">
      <x:c r="A21" s="30" t="str">
        <x:v>PSP2-17</x:v>
      </x:c>
      <x:c r="B21" s="30" t="str">
        <x:v>Subtarea</x:v>
      </x:c>
      <x:c r="C21" s="30" t="str">
        <x:v>HU-03</x:v>
      </x:c>
      <x:c r="D21" s="30" t="str">
        <x:v>HU-03 | Implementar paginación y conteo de resultados</x:v>
      </x:c>
      <x:c r="E21" s="30" t="str">
        <x:v>PSP2-3</x:v>
      </x:c>
      <x:c r="F21" s="30" t="str">
        <x:v>Sprint3-Consulta De Preguntas (asociado)</x:v>
      </x:c>
      <x:c r="G21" s="36" t="str">
        <x:v>Listo</x:v>
      </x:c>
      <x:c r="H21" s="30" t="str">
        <x:v>Britney Benítez Ordoñez</x:v>
      </x:c>
      <x:c r="I21" s="30" t="str">
        <x:v>Media</x:v>
      </x:c>
      <x:c r="J21" s="30" t="str">
        <x:v>13/10/2026</x:v>
      </x:c>
      <x:c r="K21" s="39" t="str">
        <x:v>https://banco-preguntas-unicauca.atlassian.net/browse/PSP2-17</x:v>
      </x:c>
      <x:c r="L21" s="30" t="str">
        <x:v>PR #3 (HU madre)</x:v>
      </x:c>
      <x:c r="M21" s="30" t="str">
        <x:v>Diez registros por página y navegación.</x:v>
      </x:c>
    </x:row>
    <x:row r="22" ht="42" customHeight="1">
      <x:c r="A22" s="26" t="str">
        <x:v>PSP2-18</x:v>
      </x:c>
      <x:c r="B22" s="26" t="str">
        <x:v>Subtarea</x:v>
      </x:c>
      <x:c r="C22" s="26" t="str">
        <x:v>HU-03</x:v>
      </x:c>
      <x:c r="D22" s="26" t="str">
        <x:v>HU-03 | Implementar ventana de detalles de preguntas</x:v>
      </x:c>
      <x:c r="E22" s="26" t="str">
        <x:v>PSP2-3</x:v>
      </x:c>
      <x:c r="F22" s="26" t="str">
        <x:v>Sprint3-Consulta De Preguntas (asociado)</x:v>
      </x:c>
      <x:c r="G22" s="36" t="str">
        <x:v>Listo</x:v>
      </x:c>
      <x:c r="H22" s="26" t="str">
        <x:v>Britney Benítez Ordoñez</x:v>
      </x:c>
      <x:c r="I22" s="26" t="str">
        <x:v>Media</x:v>
      </x:c>
      <x:c r="J22" s="26" t="str">
        <x:v>13/10/2026</x:v>
      </x:c>
      <x:c r="K22" s="40" t="str">
        <x:v>https://banco-preguntas-unicauca.atlassian.net/browse/PSP2-18</x:v>
      </x:c>
      <x:c r="L22" s="26" t="str">
        <x:v>PR #3 (HU madre)</x:v>
      </x:c>
      <x:c r="M22" s="26" t="str">
        <x:v>Ver los datos académicos de una pregunta.</x:v>
      </x:c>
    </x:row>
    <x:row r="23" ht="42" customHeight="1">
      <x:c r="A23" s="30" t="str">
        <x:v>PSP2-19</x:v>
      </x:c>
      <x:c r="B23" s="30" t="str">
        <x:v>Subtarea</x:v>
      </x:c>
      <x:c r="C23" s="30" t="str">
        <x:v>HU-03</x:v>
      </x:c>
      <x:c r="D23" s="30" t="str">
        <x:v>HU-03 | Crear pruebas de consulta, filtros y paginación</x:v>
      </x:c>
      <x:c r="E23" s="30" t="str">
        <x:v>PSP2-3</x:v>
      </x:c>
      <x:c r="F23" s="30" t="str">
        <x:v>Sprint3-Consulta De Preguntas (asociado)</x:v>
      </x:c>
      <x:c r="G23" s="36" t="str">
        <x:v>Listo</x:v>
      </x:c>
      <x:c r="H23" s="30" t="str">
        <x:v>Britney Benítez Ordoñez</x:v>
      </x:c>
      <x:c r="I23" s="30" t="str">
        <x:v>Media</x:v>
      </x:c>
      <x:c r="J23" s="30" t="str">
        <x:v>13/10/2026</x:v>
      </x:c>
      <x:c r="K23" s="39" t="str">
        <x:v>https://banco-preguntas-unicauca.atlassian.net/browse/PSP2-19</x:v>
      </x:c>
      <x:c r="L23" s="30" t="str">
        <x:v>PR #3 (HU madre)</x:v>
      </x:c>
      <x:c r="M23" s="30" t="str">
        <x:v>JUnit para filtros, límites y resultados vacíos.</x:v>
      </x:c>
    </x:row>
    <x:row r="24" ht="42" customHeight="1">
      <x:c r="A24" s="34" t="str">
        <x:v>PSP2-4</x:v>
      </x:c>
      <x:c r="B24" s="34" t="str">
        <x:v>Historia</x:v>
      </x:c>
      <x:c r="C24" s="34" t="str">
        <x:v>HU-04</x:v>
      </x:c>
      <x:c r="D24" s="34" t="str">
        <x:v>Asignación de docentes revisores y notificación por correo electrónico</x:v>
      </x:c>
      <x:c r="E24" s="32" t="str">
        <x:v>—</x:v>
      </x:c>
      <x:c r="F24" s="32" t="str">
        <x:v>Sprint4-AsignacionDeRevisores</x:v>
      </x:c>
      <x:c r="G24" s="36" t="str">
        <x:v>Listo</x:v>
      </x:c>
      <x:c r="H24" s="32" t="str">
        <x:v>Britney Benítez Ordoñez</x:v>
      </x:c>
      <x:c r="I24" s="32" t="str">
        <x:v>Media</x:v>
      </x:c>
      <x:c r="J24" s="32" t="str">
        <x:v>12/10/2026</x:v>
      </x:c>
      <x:c r="K24" s="38" t="str">
        <x:v>https://banco-preguntas-unicauca.atlassian.net/browse/PSP2-4</x:v>
      </x:c>
      <x:c r="L24" s="32" t="str">
        <x:v>PR #4 y #7</x:v>
      </x:c>
      <x:c r="M24" s="32" t="str">
        <x:v>Registro de revisores, asignaciones, SMTP, registro de envíos y reintentos.</x:v>
      </x:c>
    </x:row>
    <x:row r="25" ht="42" customHeight="1">
      <x:c r="A25" s="30" t="str">
        <x:v>PSP2-20</x:v>
      </x:c>
      <x:c r="B25" s="30" t="str">
        <x:v>Subtarea</x:v>
      </x:c>
      <x:c r="C25" s="30" t="str">
        <x:v>HU-04</x:v>
      </x:c>
      <x:c r="D25" s="30" t="str">
        <x:v>HU-04 | Implementar registro y validación de docentes revisores</x:v>
      </x:c>
      <x:c r="E25" s="30" t="str">
        <x:v>PSP2-4</x:v>
      </x:c>
      <x:c r="F25" s="30" t="str">
        <x:v>Sprint4-AsignacionDeRevisores (asociado)</x:v>
      </x:c>
      <x:c r="G25" s="36" t="str">
        <x:v>Listo</x:v>
      </x:c>
      <x:c r="H25" s="30" t="str">
        <x:v>Britney Benítez Ordoñez</x:v>
      </x:c>
      <x:c r="I25" s="30" t="str">
        <x:v>Media</x:v>
      </x:c>
      <x:c r="J25" s="30" t="str">
        <x:v>13/10/2026</x:v>
      </x:c>
      <x:c r="K25" s="39" t="str">
        <x:v>https://banco-preguntas-unicauca.atlassian.net/browse/PSP2-20</x:v>
      </x:c>
      <x:c r="L25" s="30" t="str">
        <x:v>PR #4 y #7 (HU madre)</x:v>
      </x:c>
      <x:c r="M25" s="30" t="str">
        <x:v>Registro en SQLite y validación de duplicados.</x:v>
      </x:c>
    </x:row>
    <x:row r="26" ht="42" customHeight="1">
      <x:c r="A26" s="26" t="str">
        <x:v>PSP2-21</x:v>
      </x:c>
      <x:c r="B26" s="26" t="str">
        <x:v>Subtarea</x:v>
      </x:c>
      <x:c r="C26" s="26" t="str">
        <x:v>HU-04</x:v>
      </x:c>
      <x:c r="D26" s="26" t="str">
        <x:v>HU-04 | Implementar asignación de revisores sin duplicados</x:v>
      </x:c>
      <x:c r="E26" s="26" t="str">
        <x:v>PSP2-4</x:v>
      </x:c>
      <x:c r="F26" s="26" t="str">
        <x:v>Sprint4-AsignacionDeRevisores (asociado)</x:v>
      </x:c>
      <x:c r="G26" s="36" t="str">
        <x:v>Listo</x:v>
      </x:c>
      <x:c r="H26" s="26" t="str">
        <x:v>Britney Benítez Ordoñez</x:v>
      </x:c>
      <x:c r="I26" s="26" t="str">
        <x:v>Media</x:v>
      </x:c>
      <x:c r="J26" s="26" t="str">
        <x:v>13/10/2026</x:v>
      </x:c>
      <x:c r="K26" s="40" t="str">
        <x:v>https://banco-preguntas-unicauca.atlassian.net/browse/PSP2-21</x:v>
      </x:c>
      <x:c r="L26" s="26" t="str">
        <x:v>PR #4 y #7 (HU madre)</x:v>
      </x:c>
      <x:c r="M26" s="26" t="str">
        <x:v>Asignar a pendientes sin repetir pareja pregunta-revisor.</x:v>
      </x:c>
    </x:row>
    <x:row r="27" ht="42" customHeight="1">
      <x:c r="A27" s="30" t="str">
        <x:v>PSP2-22</x:v>
      </x:c>
      <x:c r="B27" s="30" t="str">
        <x:v>Subtarea</x:v>
      </x:c>
      <x:c r="C27" s="30" t="str">
        <x:v>HU-04</x:v>
      </x:c>
      <x:c r="D27" s="30" t="str">
        <x:v>HU-04 | Desarrollar interfaz administrativa y consulta de asignados</x:v>
      </x:c>
      <x:c r="E27" s="30" t="str">
        <x:v>PSP2-4</x:v>
      </x:c>
      <x:c r="F27" s="30" t="str">
        <x:v>Sprint4-AsignacionDeRevisores (asociado)</x:v>
      </x:c>
      <x:c r="G27" s="36" t="str">
        <x:v>Listo</x:v>
      </x:c>
      <x:c r="H27" s="30" t="str">
        <x:v>Britney Benítez Ordoñez</x:v>
      </x:c>
      <x:c r="I27" s="30" t="str">
        <x:v>Media</x:v>
      </x:c>
      <x:c r="J27" s="30" t="str">
        <x:v>13/10/2026</x:v>
      </x:c>
      <x:c r="K27" s="39" t="str">
        <x:v>https://banco-preguntas-unicauca.atlassian.net/browse/PSP2-22</x:v>
      </x:c>
      <x:c r="L27" s="30" t="str">
        <x:v>PR #4 y #7 (HU madre)</x:v>
      </x:c>
      <x:c r="M27" s="30" t="str">
        <x:v>Pantallas Swing de asignación y consulta.</x:v>
      </x:c>
    </x:row>
    <x:row r="28" ht="42" customHeight="1">
      <x:c r="A28" s="26" t="str">
        <x:v>PSP2-23</x:v>
      </x:c>
      <x:c r="B28" s="26" t="str">
        <x:v>Subtarea</x:v>
      </x:c>
      <x:c r="C28" s="26" t="str">
        <x:v>HU-04</x:v>
      </x:c>
      <x:c r="D28" s="26" t="str">
        <x:v>HU-04 | Implementar notificaciones SMTP por correo electrónico</x:v>
      </x:c>
      <x:c r="E28" s="26" t="str">
        <x:v>PSP2-4</x:v>
      </x:c>
      <x:c r="F28" s="26" t="str">
        <x:v>Sprint4-AsignacionDeRevisores (asociado)</x:v>
      </x:c>
      <x:c r="G28" s="36" t="str">
        <x:v>Listo</x:v>
      </x:c>
      <x:c r="H28" s="26" t="str">
        <x:v>Britney Benítez Ordoñez</x:v>
      </x:c>
      <x:c r="I28" s="26" t="str">
        <x:v>Media</x:v>
      </x:c>
      <x:c r="J28" s="26" t="str">
        <x:v>13/10/2026</x:v>
      </x:c>
      <x:c r="K28" s="40" t="str">
        <x:v>https://banco-preguntas-unicauca.atlassian.net/browse/PSP2-23</x:v>
      </x:c>
      <x:c r="L28" s="26" t="str">
        <x:v>PR #4 y #7 (HU madre)</x:v>
      </x:c>
      <x:c r="M28" s="26" t="str">
        <x:v>Jakarta Mail, STARTTLS y variables de entorno.</x:v>
      </x:c>
    </x:row>
    <x:row r="29" ht="42" customHeight="1">
      <x:c r="A29" s="30" t="str">
        <x:v>PSP2-24</x:v>
      </x:c>
      <x:c r="B29" s="30" t="str">
        <x:v>Subtarea</x:v>
      </x:c>
      <x:c r="C29" s="30" t="str">
        <x:v>HU-04</x:v>
      </x:c>
      <x:c r="D29" s="30" t="str">
        <x:v>HU-04 | Persistir notificaciones pendientes y reintentos</x:v>
      </x:c>
      <x:c r="E29" s="30" t="str">
        <x:v>PSP2-4</x:v>
      </x:c>
      <x:c r="F29" s="30" t="str">
        <x:v>Sprint4-AsignacionDeRevisores (asociado)</x:v>
      </x:c>
      <x:c r="G29" s="36" t="str">
        <x:v>Listo</x:v>
      </x:c>
      <x:c r="H29" s="30" t="str">
        <x:v>Britney Benítez Ordoñez</x:v>
      </x:c>
      <x:c r="I29" s="30" t="str">
        <x:v>Media</x:v>
      </x:c>
      <x:c r="J29" s="30" t="str">
        <x:v>13/10/2026</x:v>
      </x:c>
      <x:c r="K29" s="39" t="str">
        <x:v>https://banco-preguntas-unicauca.atlassian.net/browse/PSP2-24</x:v>
      </x:c>
      <x:c r="L29" s="30" t="str">
        <x:v>PR #4 y #7 (HU madre)</x:v>
      </x:c>
      <x:c r="M29" s="30" t="str">
        <x:v>Estados PENDIENTE/ENVIADA y mecanismo de reintento.</x:v>
      </x:c>
    </x:row>
    <x:row r="30" ht="42" customHeight="1">
      <x:c r="A30" s="26" t="str">
        <x:v>PSP2-25</x:v>
      </x:c>
      <x:c r="B30" s="26" t="str">
        <x:v>Subtarea</x:v>
      </x:c>
      <x:c r="C30" s="26" t="str">
        <x:v>HU-04</x:v>
      </x:c>
      <x:c r="D30" s="26" t="str">
        <x:v>HU-04 | Probar asignación, SMTP y recuperación ante fallos</x:v>
      </x:c>
      <x:c r="E30" s="26" t="str">
        <x:v>PSP2-4</x:v>
      </x:c>
      <x:c r="F30" s="26" t="str">
        <x:v>Sprint4-AsignacionDeRevisores (asociado)</x:v>
      </x:c>
      <x:c r="G30" s="36" t="str">
        <x:v>Listo</x:v>
      </x:c>
      <x:c r="H30" s="26" t="str">
        <x:v>Britney Benítez Ordoñez</x:v>
      </x:c>
      <x:c r="I30" s="26" t="str">
        <x:v>Media</x:v>
      </x:c>
      <x:c r="J30" s="26" t="str">
        <x:v>13/10/2026</x:v>
      </x:c>
      <x:c r="K30" s="40" t="str">
        <x:v>https://banco-preguntas-unicauca.atlassian.net/browse/PSP2-25</x:v>
      </x:c>
      <x:c r="L30" s="26" t="str">
        <x:v>PR #4 y #7 (HU madre)</x:v>
      </x:c>
      <x:c r="M30" s="26" t="str">
        <x:v>Pruebas JUnit y verificación real del correo.</x:v>
      </x:c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ba6157ac737141c9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51" hidden="0" customWidth="1"/>
    <x:col min="4" max="4" width="15" hidden="0" customWidth="1"/>
    <x:col min="5" max="5" width="30" hidden="0" customWidth="1"/>
    <x:col min="6" max="6" width="47" hidden="0" customWidth="1"/>
    <x:col min="7" max="7" width="54" hidden="0" customWidth="1"/>
  </x:cols>
  <x:sheetData>
    <x:row r="1" ht="25" customHeight="1">
      <x:c r="A1" s="4" t="str">
        <x:v>SPRINT 1 · REGISTRO DE PREGUNTAS</x:v>
      </x:c>
      <x:c r="B1" s="4"/>
      <x:c r="C1" s="4"/>
      <x:c r="D1" s="4"/>
      <x:c r="E1" s="4"/>
      <x:c r="F1" s="4"/>
      <x:c r="G1" s="4"/>
    </x:row>
    <x:row r="2" ht="25" customHeight="1">
      <x:c r="A2" s="4"/>
      <x:c r="B2" s="4"/>
      <x:c r="C2" s="4"/>
      <x:c r="D2" s="4"/>
      <x:c r="E2" s="4"/>
      <x:c r="F2" s="4"/>
      <x:c r="G2" s="4"/>
    </x:row>
    <x:row r="3" ht="28" customHeight="1">
      <x:c r="A3" s="11" t="str">
        <x:v>HU-01 (PSP2-1) · sprint cerrado · 5 subtareas vinculadas a la historia</x:v>
      </x:c>
      <x:c r="B3" s="11"/>
      <x:c r="C3" s="11"/>
      <x:c r="D3" s="11"/>
      <x:c r="E3" s="11"/>
      <x:c r="F3" s="11"/>
      <x:c r="G3" s="11"/>
    </x:row>
    <x:row r="5" ht="32" customHeight="1">
      <x:c r="A5" s="19" t="str">
        <x:v>Clave</x:v>
      </x:c>
      <x:c r="B5" s="19" t="str">
        <x:v>Tipo</x:v>
      </x:c>
      <x:c r="C5" s="19" t="str">
        <x:v>Tarea</x:v>
      </x:c>
      <x:c r="D5" s="19" t="str">
        <x:v>Estado</x:v>
      </x:c>
      <x:c r="E5" s="19" t="str">
        <x:v>Responsable</x:v>
      </x:c>
      <x:c r="F5" s="19" t="str">
        <x:v>Enlace Jira</x:v>
      </x:c>
      <x:c r="G5" s="19" t="str">
        <x:v>Trazabilidad temporal</x:v>
      </x:c>
    </x:row>
    <x:row r="6" ht="42" customHeight="1">
      <x:c r="A6" s="26" t="str">
        <x:v>PSP2-1</x:v>
      </x:c>
      <x:c r="B6" s="26" t="str">
        <x:v>Historia</x:v>
      </x:c>
      <x:c r="C6" s="26" t="str">
        <x:v>Registro y validación estructural de preguntas Saber Pro</x:v>
      </x:c>
      <x:c r="D6" s="36" t="str">
        <x:v>Listo</x:v>
      </x:c>
      <x:c r="E6" s="26" t="str">
        <x:v>Britney Benítez Ordoñez</x:v>
      </x:c>
      <x:c r="F6" s="26" t="str">
        <x:v>https://banco-preguntas-unicauca.atlassian.net/browse/PSP2-1</x:v>
      </x:c>
      <x:c r="G6" s="26" t="str">
        <x:v>Historia asignada al Sprint 1</x:v>
      </x:c>
    </x:row>
    <x:row r="7" ht="42" customHeight="1">
      <x:c r="A7" s="30" t="str">
        <x:v>PSP2-5</x:v>
      </x:c>
      <x:c r="B7" s="30" t="str">
        <x:v>Subtarea</x:v>
      </x:c>
      <x:c r="C7" s="30" t="str">
        <x:v>HU-01 | Diseñar el modelo de dominio de las preguntas</x:v>
      </x:c>
      <x:c r="D7" s="36" t="str">
        <x:v>Listo</x:v>
      </x:c>
      <x:c r="E7" s="30" t="str">
        <x:v>Britney Benítez Ordoñez</x:v>
      </x:c>
      <x:c r="F7" s="30" t="str">
        <x:v>https://banco-preguntas-unicauca.atlassian.net/browse/PSP2-5</x:v>
      </x:c>
      <x:c r="G7" s="30" t="str">
        <x:v>Vinculada a HU-01; creada después de cerrar Sprint 1</x:v>
      </x:c>
    </x:row>
    <x:row r="8" ht="42" customHeight="1">
      <x:c r="A8" s="26" t="str">
        <x:v>PSP2-6</x:v>
      </x:c>
      <x:c r="B8" s="26" t="str">
        <x:v>Subtarea</x:v>
      </x:c>
      <x:c r="C8" s="26" t="str">
        <x:v>HU-01 | Implementar validaciones estructurales</x:v>
      </x:c>
      <x:c r="D8" s="36" t="str">
        <x:v>Listo</x:v>
      </x:c>
      <x:c r="E8" s="26" t="str">
        <x:v>Britney Benítez Ordoñez</x:v>
      </x:c>
      <x:c r="F8" s="26" t="str">
        <x:v>https://banco-preguntas-unicauca.atlassian.net/browse/PSP2-6</x:v>
      </x:c>
      <x:c r="G8" s="26" t="str">
        <x:v>Vinculada a HU-01; creada después de cerrar Sprint 1</x:v>
      </x:c>
    </x:row>
    <x:row r="9" ht="42" customHeight="1">
      <x:c r="A9" s="30" t="str">
        <x:v>PSP2-7</x:v>
      </x:c>
      <x:c r="B9" s="30" t="str">
        <x:v>Subtarea</x:v>
      </x:c>
      <x:c r="C9" s="30" t="str">
        <x:v>HU-01 | Desarrollar formulario Java Swing y controlador MVC</x:v>
      </x:c>
      <x:c r="D9" s="36" t="str">
        <x:v>Listo</x:v>
      </x:c>
      <x:c r="E9" s="30" t="str">
        <x:v>Britney Benítez Ordoñez</x:v>
      </x:c>
      <x:c r="F9" s="30" t="str">
        <x:v>https://banco-preguntas-unicauca.atlassian.net/browse/PSP2-7</x:v>
      </x:c>
      <x:c r="G9" s="30" t="str">
        <x:v>Vinculada a HU-01; creada después de cerrar Sprint 1</x:v>
      </x:c>
    </x:row>
    <x:row r="10" ht="42" customHeight="1">
      <x:c r="A10" s="26" t="str">
        <x:v>PSP2-8</x:v>
      </x:c>
      <x:c r="B10" s="26" t="str">
        <x:v>Subtarea</x:v>
      </x:c>
      <x:c r="C10" s="26" t="str">
        <x:v>HU-01 | Persistir preguntas y distractores en SQLite</x:v>
      </x:c>
      <x:c r="D10" s="36" t="str">
        <x:v>Listo</x:v>
      </x:c>
      <x:c r="E10" s="26" t="str">
        <x:v>Britney Benítez Ordoñez</x:v>
      </x:c>
      <x:c r="F10" s="26" t="str">
        <x:v>https://banco-preguntas-unicauca.atlassian.net/browse/PSP2-8</x:v>
      </x:c>
      <x:c r="G10" s="26" t="str">
        <x:v>Vinculada a HU-01; creada después de cerrar Sprint 1</x:v>
      </x:c>
    </x:row>
    <x:row r="11" ht="42" customHeight="1">
      <x:c r="A11" s="30" t="str">
        <x:v>PSP2-9</x:v>
      </x:c>
      <x:c r="B11" s="30" t="str">
        <x:v>Subtarea</x:v>
      </x:c>
      <x:c r="C11" s="30" t="str">
        <x:v>HU-01 | Desarrollar y ejecutar pruebas unitarias</x:v>
      </x:c>
      <x:c r="D11" s="36" t="str">
        <x:v>Listo</x:v>
      </x:c>
      <x:c r="E11" s="30" t="str">
        <x:v>Britney Benítez Ordoñez</x:v>
      </x:c>
      <x:c r="F11" s="30" t="str">
        <x:v>https://banco-preguntas-unicauca.atlassian.net/browse/PSP2-9</x:v>
      </x:c>
      <x:c r="G11" s="30" t="str">
        <x:v>Vinculada a HU-01; creada después de cerrar Sprint 1</x:v>
      </x:c>
    </x:row>
    <x:row r="14" ht="24" customHeight="1">
      <x:c r="A14" s="54" t="str">
        <x:v>Para la entrega: esta hoja resume la historia del Sprint 1 y sus subtareas; agrega una captura real de Jira. No presentes las subtareas como planificación original, pues fueron registradas posteriormente.</x:v>
      </x:c>
      <x:c r="B14" s="54"/>
      <x:c r="C14" s="54"/>
      <x:c r="D14" s="54"/>
      <x:c r="E14" s="54"/>
      <x:c r="F14" s="54"/>
      <x:c r="G14" s="54"/>
    </x:row>
    <x:row r="15" ht="24" customHeight="1">
      <x:c r="A15" s="54"/>
      <x:c r="B15" s="54"/>
      <x:c r="C15" s="54"/>
      <x:c r="D15" s="54"/>
      <x:c r="E15" s="54"/>
      <x:c r="F15" s="54"/>
      <x:c r="G15" s="54"/>
    </x:row>
  </x:sheetData>
  <x:mergeCells>
    <x:mergeCell ref="A1:G2"/>
    <x:mergeCell ref="A3:G3"/>
    <x:mergeCell ref="A14:G15"/>
  </x:mergeCells>
  <x:pageMargins left="0.7" right="0.7" top="0.75" bottom="0.75" header="0.3" footer="0.3"/>
  <x:tableParts count="1">
    <x:tablePart xmlns:r="http://schemas.openxmlformats.org/officeDocument/2006/relationships" r:id="Rdcdd810dd6394346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37" hidden="0" customWidth="1"/>
    <x:col min="3" max="3" width="21" hidden="0" customWidth="1"/>
    <x:col min="4" max="4" width="15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48" hidden="0" customWidth="1"/>
  </x:cols>
  <x:sheetData>
    <x:row r="1" ht="25" customHeight="1">
      <x:c r="A1" s="4" t="str">
        <x:v>HISTORIAL DE SPRINTS</x:v>
      </x:c>
      <x:c r="B1" s="4"/>
      <x:c r="C1" s="4"/>
      <x:c r="D1" s="4"/>
      <x:c r="E1" s="4"/>
      <x:c r="F1" s="4"/>
      <x:c r="G1" s="4"/>
      <x:c r="H1" s="4"/>
      <x:c r="I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28" customHeight="1">
      <x:c r="A3" s="11" t="str">
        <x:v>Fechas según Jira, expresadas en UTC; no constituyen evidencia de planificación previa.</x:v>
      </x:c>
      <x:c r="B3" s="11"/>
      <x:c r="C3" s="11"/>
      <x:c r="D3" s="11"/>
      <x:c r="E3" s="11"/>
      <x:c r="F3" s="11"/>
      <x:c r="G3" s="11"/>
      <x:c r="H3" s="11"/>
      <x:c r="I3" s="11"/>
    </x:row>
    <x:row r="5" ht="32" customHeight="1">
      <x:c r="A5" s="19" t="str">
        <x:v>N.º</x:v>
      </x:c>
      <x:c r="B5" s="19" t="str">
        <x:v>Nombre en Jira</x:v>
      </x:c>
      <x:c r="C5" s="19" t="str">
        <x:v>Historia asignada</x:v>
      </x:c>
      <x:c r="D5" s="19" t="str">
        <x:v>Estado</x:v>
      </x:c>
      <x:c r="E5" s="19" t="str">
        <x:v>Inicio registrado</x:v>
      </x:c>
      <x:c r="F5" s="19" t="str">
        <x:v>Fin previsto</x:v>
      </x:c>
      <x:c r="G5" s="19" t="str">
        <x:v>Cierre registrado</x:v>
      </x:c>
      <x:c r="H5" s="19" t="str">
        <x:v>Subtareas vinculadas</x:v>
      </x:c>
      <x:c r="I5" s="19" t="str">
        <x:v>Nota sobre evidencia</x:v>
      </x:c>
    </x:row>
    <x:row r="6" ht="42" customHeight="1">
      <x:c r="A6" s="26" t="n">
        <x:v>1</x:v>
      </x:c>
      <x:c r="B6" s="26" t="str">
        <x:v>Sprint1-RegistroDePreguntas</x:v>
      </x:c>
      <x:c r="C6" s="26" t="str">
        <x:v>PSP2-1 / HU-01</x:v>
      </x:c>
      <x:c r="D6" s="36" t="str">
        <x:v>Cerrado</x:v>
      </x:c>
      <x:c r="E6" s="26" t="str">
        <x:v>2026-09-15 04:35 UTC</x:v>
      </x:c>
      <x:c r="F6" s="26" t="str">
        <x:v>2026-09-21 05:00 UTC</x:v>
      </x:c>
      <x:c r="G6" s="26" t="str">
        <x:v>2026-10-13 05:09 UTC</x:v>
      </x:c>
      <x:c r="H6" s="26" t="str">
        <x:v>PSP2-5 a PSP2-9</x:v>
      </x:c>
      <x:c r="I6" s="26" t="str">
        <x:v>Subtareas creadas después del cierre del sprint.</x:v>
      </x:c>
    </x:row>
    <x:row r="7" ht="42" customHeight="1">
      <x:c r="A7" s="30" t="n">
        <x:v>2</x:v>
      </x:c>
      <x:c r="B7" s="30" t="str">
        <x:v>Sprint2 -Gestión De Estados</x:v>
      </x:c>
      <x:c r="C7" s="30" t="str">
        <x:v>PSP2-2 / HU-02</x:v>
      </x:c>
      <x:c r="D7" s="36" t="str">
        <x:v>Cerrado</x:v>
      </x:c>
      <x:c r="E7" s="30" t="str">
        <x:v>2026-09-21 05:10 UTC</x:v>
      </x:c>
      <x:c r="F7" s="30" t="str">
        <x:v>2026-09-28 05:00 UTC</x:v>
      </x:c>
      <x:c r="G7" s="30" t="str">
        <x:v>2026-10-13 05:11 UTC</x:v>
      </x:c>
      <x:c r="H7" s="30" t="str">
        <x:v>PSP2-10 a PSP2-14</x:v>
      </x:c>
      <x:c r="I7" s="30" t="str">
        <x:v>Subtareas creadas después del cierre del sprint.</x:v>
      </x:c>
    </x:row>
    <x:row r="8" ht="42" customHeight="1">
      <x:c r="A8" s="26" t="n">
        <x:v>3</x:v>
      </x:c>
      <x:c r="B8" s="26" t="str">
        <x:v>Sprint3-Consulta De Preguntas</x:v>
      </x:c>
      <x:c r="C8" s="26" t="str">
        <x:v>PSP2-3 / HU-03</x:v>
      </x:c>
      <x:c r="D8" s="36" t="str">
        <x:v>Cerrado</x:v>
      </x:c>
      <x:c r="E8" s="26" t="str">
        <x:v>2026-09-24 05:13 UTC</x:v>
      </x:c>
      <x:c r="F8" s="26" t="str">
        <x:v>2026-10-01 05:00 UTC</x:v>
      </x:c>
      <x:c r="G8" s="26" t="str">
        <x:v>2026-10-13 05:14 UTC</x:v>
      </x:c>
      <x:c r="H8" s="26" t="str">
        <x:v>PSP2-15 a PSP2-19</x:v>
      </x:c>
      <x:c r="I8" s="26" t="str">
        <x:v>Subtareas creadas después del cierre del sprint.</x:v>
      </x:c>
    </x:row>
    <x:row r="9" ht="42" customHeight="1">
      <x:c r="A9" s="30" t="n">
        <x:v>4</x:v>
      </x:c>
      <x:c r="B9" s="30" t="str">
        <x:v>Sprint4-AsignacionDeRevisores</x:v>
      </x:c>
      <x:c r="C9" s="30" t="str">
        <x:v>PSP2-4 / HU-04</x:v>
      </x:c>
      <x:c r="D9" s="36" t="str">
        <x:v>Cerrado</x:v>
      </x:c>
      <x:c r="E9" s="30" t="str">
        <x:v>2026-10-05 05:15 UTC</x:v>
      </x:c>
      <x:c r="F9" s="30" t="str">
        <x:v>2026-10-12 05:00 UTC</x:v>
      </x:c>
      <x:c r="G9" s="30" t="str">
        <x:v>2026-10-13 05:15 UTC</x:v>
      </x:c>
      <x:c r="H9" s="30" t="str">
        <x:v>PSP2-20 a PSP2-25</x:v>
      </x:c>
      <x:c r="I9" s="30" t="str">
        <x:v>Subtareas creadas después del cierre del sprint.</x:v>
      </x:c>
    </x:row>
    <x:row r="12" ht="38" customHeight="1">
      <x:c r="A12" s="47" t="str">
        <x:v>ATENCIÓN: los sprints se cerraron el 13/10/2026; las subtareas se crearon después del cierre.</x:v>
      </x:c>
      <x:c r="B12" s="47"/>
      <x:c r="C12" s="47"/>
      <x:c r="D12" s="47"/>
      <x:c r="E12" s="47"/>
      <x:c r="F12" s="47"/>
      <x:c r="G12" s="47"/>
      <x:c r="H12" s="47"/>
      <x:c r="I12" s="47"/>
    </x:row>
  </x:sheetData>
  <x:mergeCells>
    <x:mergeCell ref="A1:I2"/>
    <x:mergeCell ref="A3:I3"/>
    <x:mergeCell ref="A12:I12"/>
  </x:mergeCells>
  <x:pageMargins left="0.7" right="0.7" top="0.75" bottom="0.75" header="0.3" footer="0.3"/>
  <x:tableParts count="1">
    <x:tablePart xmlns:r="http://schemas.openxmlformats.org/officeDocument/2006/relationships" r:id="R9152db135acb4282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45" hidden="0" customWidth="1"/>
    <x:col min="3" max="3" width="26" hidden="0" customWidth="1"/>
    <x:col min="4" max="4" width="34" hidden="0" customWidth="1"/>
    <x:col min="5" max="5" width="30" hidden="0" customWidth="1"/>
    <x:col min="6" max="6" width="36" hidden="0" customWidth="1"/>
  </x:cols>
  <x:sheetData>
    <x:row r="1" ht="25" customHeight="1">
      <x:c r="A1" s="4" t="str">
        <x:v>BACKLOG ACADÉMICO · TABLA 12.1</x:v>
      </x:c>
      <x:c r="B1" s="4"/>
      <x:c r="C1" s="4"/>
      <x:c r="D1" s="4"/>
      <x:c r="E1" s="4"/>
      <x:c r="F1" s="4"/>
    </x:row>
    <x:row r="2" ht="25" customHeight="1">
      <x:c r="A2" s="4"/>
      <x:c r="B2" s="4"/>
      <x:c r="C2" s="4"/>
      <x:c r="D2" s="4"/>
      <x:c r="E2" s="4"/>
      <x:c r="F2" s="4"/>
    </x:row>
    <x:row r="3" ht="28" customHeight="1">
      <x:c r="A3" s="11" t="str">
        <x:v>Resumen para pegar o adaptar al documento de arquitectura; diferencia Jira del resto de entregables.</x:v>
      </x:c>
      <x:c r="B3" s="11"/>
      <x:c r="C3" s="11"/>
      <x:c r="D3" s="11"/>
      <x:c r="E3" s="11"/>
      <x:c r="F3" s="11"/>
    </x:row>
    <x:row r="5" ht="32" customHeight="1">
      <x:c r="A5" s="19" t="str">
        <x:v>Elemento</x:v>
      </x:c>
      <x:c r="B5" s="19" t="str">
        <x:v>HU / tarea</x:v>
      </x:c>
      <x:c r="C5" s="19" t="str">
        <x:v>Referencia</x:v>
      </x:c>
      <x:c r="D5" s="19" t="str">
        <x:v>Evidencia</x:v>
      </x:c>
      <x:c r="E5" s="19" t="str">
        <x:v>Responsable</x:v>
      </x:c>
      <x:c r="F5" s="19" t="str">
        <x:v>Estado real</x:v>
      </x:c>
    </x:row>
    <x:row r="6" ht="42" customHeight="1">
      <x:c r="A6" s="26" t="str">
        <x:v>BL-01</x:v>
      </x:c>
      <x:c r="B6" s="26" t="str">
        <x:v>HU-01 · Registrar y validar preguntas</x:v>
      </x:c>
      <x:c r="C6" s="26" t="str">
        <x:v>PSP2-1</x:v>
      </x:c>
      <x:c r="D6" s="26" t="str">
        <x:v>PR #1</x:v>
      </x:c>
      <x:c r="E6" s="26" t="str">
        <x:v>Britney Benítez Ordoñez</x:v>
      </x:c>
      <x:c r="F6" s="26" t="str">
        <x:v>Listo en Jira</x:v>
      </x:c>
    </x:row>
    <x:row r="7" ht="42" customHeight="1">
      <x:c r="A7" s="30" t="str">
        <x:v>BL-02</x:v>
      </x:c>
      <x:c r="B7" s="30" t="str">
        <x:v>HU-02 · Enviar borradores a revisión</x:v>
      </x:c>
      <x:c r="C7" s="30" t="str">
        <x:v>PSP2-2</x:v>
      </x:c>
      <x:c r="D7" s="30" t="str">
        <x:v>PR #2</x:v>
      </x:c>
      <x:c r="E7" s="30" t="str">
        <x:v>Britney Benítez Ordoñez</x:v>
      </x:c>
      <x:c r="F7" s="30" t="str">
        <x:v>Listo en Jira</x:v>
      </x:c>
    </x:row>
    <x:row r="8" ht="42" customHeight="1">
      <x:c r="A8" s="26" t="str">
        <x:v>BL-03</x:v>
      </x:c>
      <x:c r="B8" s="26" t="str">
        <x:v>HU-03 · Consulta, filtros y paginación</x:v>
      </x:c>
      <x:c r="C8" s="26" t="str">
        <x:v>PSP2-3</x:v>
      </x:c>
      <x:c r="D8" s="26" t="str">
        <x:v>PR #3</x:v>
      </x:c>
      <x:c r="E8" s="26" t="str">
        <x:v>Britney Benítez Ordoñez</x:v>
      </x:c>
      <x:c r="F8" s="26" t="str">
        <x:v>Listo en Jira</x:v>
      </x:c>
    </x:row>
    <x:row r="9" ht="42" customHeight="1">
      <x:c r="A9" s="30" t="str">
        <x:v>BL-04</x:v>
      </x:c>
      <x:c r="B9" s="30" t="str">
        <x:v>HU-04 · Revisores y correo SMTP</x:v>
      </x:c>
      <x:c r="C9" s="30" t="str">
        <x:v>PSP2-4</x:v>
      </x:c>
      <x:c r="D9" s="30" t="str">
        <x:v>PR #4 y #7</x:v>
      </x:c>
      <x:c r="E9" s="30" t="str">
        <x:v>Britney Benítez Ordoñez</x:v>
      </x:c>
      <x:c r="F9" s="30" t="str">
        <x:v>Listo en Jira</x:v>
      </x:c>
    </x:row>
    <x:row r="10" ht="42" customHeight="1">
      <x:c r="A10" s="26" t="str">
        <x:v>BL-05</x:v>
      </x:c>
      <x:c r="B10" s="26" t="str">
        <x:v>README e instrucciones de ejecución</x:v>
      </x:c>
      <x:c r="C10" s="26" t="str">
        <x:v>GitHub / README.md</x:v>
      </x:c>
      <x:c r="D10" s="26" t="str">
        <x:v>PR #5 y #6</x:v>
      </x:c>
      <x:c r="E10" s="26" t="str">
        <x:v>Britney Benítez Ordoñez</x:v>
      </x:c>
      <x:c r="F10" s="26" t="str">
        <x:v>Documentación integrada</x:v>
      </x:c>
    </x:row>
    <x:row r="11" ht="42" customHeight="1">
      <x:c r="A11" s="30" t="str">
        <x:v>BL-06</x:v>
      </x:c>
      <x:c r="B11" s="30" t="str">
        <x:v>Arquitectura · C4 · UML</x:v>
      </x:c>
      <x:c r="C11" s="30" t="str">
        <x:v>Documento Word</x:v>
      </x:c>
      <x:c r="D11" s="30" t="str">
        <x:v>Revisar documento final</x:v>
      </x:c>
      <x:c r="E11" s="30" t="str">
        <x:v>Britney Benítez Ordoñez</x:v>
      </x:c>
      <x:c r="F11" s="30" t="str">
        <x:v>Elaborado; verificar evidencias</x:v>
      </x:c>
    </x:row>
    <x:row r="12" ht="42" customHeight="1">
      <x:c r="A12" s="26" t="str">
        <x:v>BL-07</x:v>
      </x:c>
      <x:c r="B12" s="26" t="str">
        <x:v>Prototipos y usabilidad</x:v>
      </x:c>
      <x:c r="C12" s="26" t="str">
        <x:v>Documento §§ 10.1–10.4</x:v>
      </x:c>
      <x:c r="D12" s="26" t="str">
        <x:v>Prueba externa no acreditada</x:v>
      </x:c>
      <x:c r="E12" s="26" t="str">
        <x:v>Britney Benítez Ordoñez</x:v>
      </x:c>
      <x:c r="F12" s="26" t="str">
        <x:v>Autoevaluación documentada</x:v>
      </x:c>
    </x:row>
    <x:row r="13" ht="42" customHeight="1">
      <x:c r="A13" s="30" t="str">
        <x:v>BL-08</x:v>
      </x:c>
      <x:c r="B13" s="30" t="str">
        <x:v>Video de sustentación</x:v>
      </x:c>
      <x:c r="C13" s="30" t="str">
        <x:v>YouTube</x:v>
      </x:c>
      <x:c r="D13" s="30" t="str">
        <x:v>URL por agregar</x:v>
      </x:c>
      <x:c r="E13" s="30" t="str">
        <x:v>Britney Benítez Ordoñez</x:v>
      </x:c>
      <x:c r="F13" s="58" t="str">
        <x:v>Pendiente de entrega</x:v>
      </x:c>
    </x:row>
    <x:row r="17" ht="27" customHeight="1">
      <x:c r="A17" s="62" t="str">
        <x:v>BL-01 a BL-08 son identificadores académicos para el documento, NO claves de Jira. El Sprint 1 contiene HU-01, mientras HU-02, HU-03 y HU-04 figuran en otros sprints.</x:v>
      </x:c>
      <x:c r="B17" s="62"/>
      <x:c r="C17" s="62"/>
      <x:c r="D17" s="62"/>
      <x:c r="E17" s="62"/>
      <x:c r="F17" s="62"/>
    </x:row>
    <x:row r="18" ht="27" customHeight="1">
      <x:c r="A18" s="62"/>
      <x:c r="B18" s="62"/>
      <x:c r="C18" s="62"/>
      <x:c r="D18" s="62"/>
      <x:c r="E18" s="62"/>
      <x:c r="F18" s="62"/>
    </x:row>
  </x:sheetData>
  <x:mergeCells>
    <x:mergeCell ref="A1:F2"/>
    <x:mergeCell ref="A3:F3"/>
    <x:mergeCell ref="A17:F18"/>
  </x:mergeCells>
  <x:pageMargins left="0.7" right="0.7" top="0.75" bottom="0.75" header="0.3" footer="0.3"/>
  <x:tableParts count="1">
    <x:tablePart xmlns:r="http://schemas.openxmlformats.org/officeDocument/2006/relationships" r:id="R60dba5f90b3b478c"/>
  </x:tableParts>
</x:worksheet>
</file>